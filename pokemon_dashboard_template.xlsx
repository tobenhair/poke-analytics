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istorical Data" sheetId="3" state="visible" r:id="rId3"/>
    <sheet xmlns:r="http://schemas.openxmlformats.org/officeDocument/2006/relationships" name="Lin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3">
    <font>
      <name val="Calibri"/>
      <family val="2"/>
      <color theme="1"/>
      <sz val="11"/>
      <scheme val="minor"/>
    </font>
    <font>
      <name val="Arial"/>
      <b val="1"/>
      <color rgb="00F5C842"/>
      <sz val="13"/>
    </font>
    <font>
      <name val="Arial"/>
      <i val="1"/>
      <color rgb="006B6F85"/>
      <sz val="9"/>
    </font>
    <font>
      <name val="Arial"/>
      <b val="1"/>
      <color rgb="004FC3F7"/>
      <sz val="10"/>
    </font>
    <font>
      <name val="Arial"/>
      <b val="1"/>
      <color rgb="004FC3F7"/>
      <sz val="9"/>
    </font>
    <font>
      <name val="Arial"/>
      <b val="1"/>
      <color rgb="00F5C842"/>
      <sz val="9"/>
    </font>
    <font>
      <name val="Arial"/>
      <color rgb="006B6F85"/>
      <sz val="8"/>
    </font>
    <font>
      <name val="Arial"/>
      <color rgb="00F5C842"/>
      <sz val="9"/>
    </font>
    <font>
      <name val="Arial"/>
      <b val="1"/>
      <color rgb="00E8473F"/>
      <sz val="8"/>
    </font>
    <font>
      <name val="Arial"/>
      <color rgb="00E8EAF0"/>
      <sz val="9"/>
    </font>
    <font>
      <name val="Arial"/>
      <i val="1"/>
      <color rgb="006B6F85"/>
      <sz val="8"/>
    </font>
    <font>
      <name val="Arial"/>
      <color rgb="000000FF"/>
      <sz val="9"/>
    </font>
    <font>
      <name val="Arial"/>
      <color rgb="004FC3F7"/>
      <sz val="9"/>
    </font>
  </fonts>
  <fills count="6">
    <fill>
      <patternFill/>
    </fill>
    <fill>
      <patternFill patternType="gray125"/>
    </fill>
    <fill>
      <patternFill patternType="solid">
        <fgColor rgb="001C1F2E"/>
      </patternFill>
    </fill>
    <fill>
      <patternFill patternType="solid">
        <fgColor rgb="000E0F14"/>
      </patternFill>
    </fill>
    <fill>
      <patternFill patternType="solid">
        <fgColor rgb="0014161F"/>
      </patternFill>
    </fill>
    <fill>
      <patternFill patternType="solid">
        <fgColor rgb="00181B27"/>
      </patternFill>
    </fill>
  </fills>
  <borders count="3">
    <border>
      <left/>
      <right/>
      <top/>
      <bottom/>
      <diagonal/>
    </border>
    <border>
      <bottom style="thin">
        <color rgb="00F5C842"/>
      </bottom>
    </border>
    <border>
      <left style="thin">
        <color rgb="002A2D3E"/>
      </left>
      <right style="thin">
        <color rgb="002A2D3E"/>
      </right>
      <top style="thin">
        <color rgb="002A2D3E"/>
      </top>
      <bottom style="thin">
        <color rgb="002A2D3E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vertical="center"/>
    </xf>
    <xf numFmtId="0" fontId="6" fillId="5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10" fillId="4" borderId="0" applyAlignment="1" pivotButton="0" quotePrefix="0" xfId="0">
      <alignment vertical="center"/>
    </xf>
    <xf numFmtId="0" fontId="11" fillId="5" borderId="0" applyAlignment="1" pivotButton="0" quotePrefix="0" xfId="0">
      <alignment vertical="center"/>
    </xf>
    <xf numFmtId="0" fontId="11" fillId="3" borderId="2" pivotButton="0" quotePrefix="0" xfId="0"/>
    <xf numFmtId="164" fontId="11" fillId="5" borderId="0" applyAlignment="1" pivotButton="0" quotePrefix="0" xfId="0">
      <alignment vertical="center"/>
    </xf>
    <xf numFmtId="164" fontId="11" fillId="3" borderId="2" pivotButton="0" quotePrefix="0" xfId="0"/>
    <xf numFmtId="0" fontId="10" fillId="4" borderId="0" applyAlignment="1" pivotButton="0" quotePrefix="0" xfId="0">
      <alignment vertical="center" wrapText="1"/>
    </xf>
    <xf numFmtId="0" fontId="12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C842"/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44" customWidth="1" min="5" max="5"/>
    <col width="3" customWidth="1" min="6" max="6"/>
  </cols>
  <sheetData>
    <row r="1" ht="34" customHeight="1">
      <c r="A1" s="1" t="n"/>
      <c r="B1" s="2" t="inlineStr">
        <is>
          <t>POKÉMON PRODUCT ANALYTICS — File Format Guide</t>
        </is>
      </c>
      <c r="F1" s="1" t="n"/>
    </row>
    <row r="2" ht="16" customHeight="1">
      <c r="A2" s="1" t="n"/>
      <c r="B2" s="3" t="inlineStr">
        <is>
          <t>Drop this file onto the dashboard — all charts and metrics update automatically.</t>
        </is>
      </c>
      <c r="F2" s="1" t="n"/>
    </row>
    <row r="3" ht="8" customHeight="1">
      <c r="A3" s="1" t="n"/>
      <c r="F3" s="1" t="n"/>
    </row>
    <row r="4" ht="22" customHeight="1">
      <c r="A4" s="4" t="inlineStr">
        <is>
          <t xml:space="preserve">  HOW IT WORKS</t>
        </is>
      </c>
      <c r="F4" s="1" t="n"/>
    </row>
    <row r="5" ht="18" customHeight="1">
      <c r="A5" s="1" t="n"/>
      <c r="B5" s="5" t="inlineStr">
        <is>
          <t>You enter</t>
        </is>
      </c>
      <c r="C5" s="6" t="inlineStr">
        <is>
          <t>3 fields per product</t>
        </is>
      </c>
      <c r="D5" s="7" t="inlineStr">
        <is>
          <t>Product name, Type, Release Date — once only, in the Summary sheet.</t>
        </is>
      </c>
      <c r="F5" s="1" t="n"/>
    </row>
    <row r="6" ht="18" customHeight="1">
      <c r="A6" s="1" t="n"/>
      <c r="B6" s="5" t="inlineStr">
        <is>
          <t>You track monthly</t>
        </is>
      </c>
      <c r="C6" s="6" t="inlineStr">
        <is>
          <t>Price &amp; Set Value</t>
        </is>
      </c>
      <c r="D6" s="7" t="inlineStr">
        <is>
          <t>One row per product per snapshot in the Historical Data sheet.</t>
        </is>
      </c>
      <c r="F6" s="1" t="n"/>
    </row>
    <row r="7" ht="18" customHeight="1">
      <c r="A7" s="1" t="n"/>
      <c r="B7" s="5" t="inlineStr">
        <is>
          <t>Dashboard derives</t>
        </is>
      </c>
      <c r="C7" s="6" t="inlineStr">
        <is>
          <t>Everything else</t>
        </is>
      </c>
      <c r="D7" s="7" t="inlineStr">
        <is>
          <t>Booster count (from Type), Age, Age Weight, Price/Booster, SV/Booster and Wtd. Score — all automatic.</t>
        </is>
      </c>
      <c r="F7" s="1" t="n"/>
    </row>
    <row r="8" ht="18" customHeight="1">
      <c r="A8" s="1" t="n"/>
      <c r="B8" s="5" t="inlineStr">
        <is>
          <t>Booster counts</t>
        </is>
      </c>
      <c r="C8" s="6" t="inlineStr">
        <is>
          <t>Fixed by Type</t>
        </is>
      </c>
      <c r="D8" s="7" t="inlineStr">
        <is>
          <t>BOX = 36 boosters  ·  ETB = 9 boosters  ·  BUNDLE = 6 boosters</t>
        </is>
      </c>
      <c r="F8" s="1" t="n"/>
    </row>
    <row r="9" ht="18" customHeight="1">
      <c r="A9" s="1" t="n"/>
      <c r="B9" s="5" t="inlineStr">
        <is>
          <t>Loading</t>
        </is>
      </c>
      <c r="C9" s="6" t="inlineStr">
        <is>
          <t>Drag &amp; drop</t>
        </is>
      </c>
      <c r="D9" s="7" t="inlineStr">
        <is>
          <t>Open the dashboard HTML in a browser and drag this file onto the upload bar.</t>
        </is>
      </c>
      <c r="F9" s="1" t="n"/>
    </row>
    <row r="10" ht="8" customHeight="1">
      <c r="A10" s="1" t="n"/>
      <c r="F10" s="1" t="n"/>
    </row>
    <row r="11" ht="22" customHeight="1">
      <c r="A11" s="4" t="inlineStr">
        <is>
          <t xml:space="preserve">  SUMMARY SHEET — 3 INPUT COLUMNS</t>
        </is>
      </c>
      <c r="F11" s="1" t="n"/>
    </row>
    <row r="12" ht="18" customHeight="1">
      <c r="A12" s="1" t="n"/>
      <c r="B12" s="8" t="inlineStr">
        <is>
          <t>Column</t>
        </is>
      </c>
      <c r="C12" s="8" t="inlineStr">
        <is>
          <t>Required?</t>
        </is>
      </c>
      <c r="D12" s="8" t="inlineStr">
        <is>
          <t>Format</t>
        </is>
      </c>
      <c r="E12" s="8" t="inlineStr">
        <is>
          <t>Notes</t>
        </is>
      </c>
      <c r="F12" s="1" t="n"/>
    </row>
    <row r="13" ht="18" customHeight="1">
      <c r="A13" s="1" t="n"/>
      <c r="B13" s="9" t="inlineStr">
        <is>
          <t>Product</t>
        </is>
      </c>
      <c r="C13" s="10" t="inlineStr">
        <is>
          <t>REQUIRED</t>
        </is>
      </c>
      <c r="D13" s="11" t="inlineStr">
        <is>
          <t>Text</t>
        </is>
      </c>
      <c r="E13" s="12" t="inlineStr">
        <is>
          <t>Unique product name. Must match exactly in Historical Data.</t>
        </is>
      </c>
      <c r="F13" s="1" t="n"/>
    </row>
    <row r="14" ht="18" customHeight="1">
      <c r="A14" s="1" t="n"/>
      <c r="B14" s="9" t="inlineStr">
        <is>
          <t>Type</t>
        </is>
      </c>
      <c r="C14" s="10" t="inlineStr">
        <is>
          <t>REQUIRED</t>
        </is>
      </c>
      <c r="D14" s="11" t="inlineStr">
        <is>
          <t>BOX/ETB/BUNDLE</t>
        </is>
      </c>
      <c r="E14" s="12" t="inlineStr">
        <is>
          <t>Uppercase. Determines booster count automatically (BOX=36, ETB=9, BUNDLE=6).</t>
        </is>
      </c>
      <c r="F14" s="1" t="n"/>
    </row>
    <row r="15" ht="18" customHeight="1">
      <c r="A15" s="1" t="n"/>
      <c r="B15" s="9" t="inlineStr">
        <is>
          <t>Release Date</t>
        </is>
      </c>
      <c r="C15" s="10" t="inlineStr">
        <is>
          <t>REQUIRED</t>
        </is>
      </c>
      <c r="D15" s="11" t="inlineStr">
        <is>
          <t>YYYY-MM-DD</t>
        </is>
      </c>
      <c r="E15" s="12" t="inlineStr">
        <is>
          <t>Use a proper date cell or text in ISO format.</t>
        </is>
      </c>
      <c r="F15" s="1" t="n"/>
    </row>
    <row r="16" ht="8" customHeight="1">
      <c r="A16" s="1" t="n"/>
      <c r="F16" s="1" t="n"/>
    </row>
    <row r="17" ht="22" customHeight="1">
      <c r="A17" s="4" t="inlineStr">
        <is>
          <t xml:space="preserve">  HISTORICAL DATA SHEET — 4 COLUMNS</t>
        </is>
      </c>
      <c r="F17" s="1" t="n"/>
    </row>
    <row r="18" ht="18" customHeight="1">
      <c r="A18" s="1" t="n"/>
      <c r="B18" s="8" t="inlineStr">
        <is>
          <t>Column</t>
        </is>
      </c>
      <c r="C18" s="8" t="inlineStr">
        <is>
          <t>Required?</t>
        </is>
      </c>
      <c r="D18" s="8" t="inlineStr">
        <is>
          <t>Format</t>
        </is>
      </c>
      <c r="E18" s="8" t="inlineStr">
        <is>
          <t>Notes</t>
        </is>
      </c>
      <c r="F18" s="1" t="n"/>
    </row>
    <row r="19" ht="18" customHeight="1">
      <c r="A19" s="1" t="n"/>
      <c r="B19" s="9" t="inlineStr">
        <is>
          <t>Product</t>
        </is>
      </c>
      <c r="C19" s="10" t="inlineStr">
        <is>
          <t>REQUIRED</t>
        </is>
      </c>
      <c r="D19" s="11" t="inlineStr">
        <is>
          <t>Text</t>
        </is>
      </c>
      <c r="E19" s="12" t="inlineStr">
        <is>
          <t>Must exactly match a Product name in the Summary sheet.</t>
        </is>
      </c>
      <c r="F19" s="1" t="n"/>
    </row>
    <row r="20" ht="18" customHeight="1">
      <c r="A20" s="1" t="n"/>
      <c r="B20" s="9" t="inlineStr">
        <is>
          <t>Snapshot Date</t>
        </is>
      </c>
      <c r="C20" s="10" t="inlineStr">
        <is>
          <t>REQUIRED</t>
        </is>
      </c>
      <c r="D20" s="11" t="inlineStr">
        <is>
          <t>Text or Date</t>
        </is>
      </c>
      <c r="E20" s="12" t="inlineStr">
        <is>
          <t>Label shown on charts, e.g. 'Apr 20'. Use the same label for all products in the same month.</t>
        </is>
      </c>
      <c r="F20" s="1" t="n"/>
    </row>
    <row r="21" ht="18" customHeight="1">
      <c r="A21" s="1" t="n"/>
      <c r="B21" s="9" t="inlineStr">
        <is>
          <t>Price (€)</t>
        </is>
      </c>
      <c r="C21" s="10" t="inlineStr">
        <is>
          <t>REQUIRED</t>
        </is>
      </c>
      <c r="D21" s="11" t="inlineStr">
        <is>
          <t>Non-neg number</t>
        </is>
      </c>
      <c r="E21" s="12" t="inlineStr">
        <is>
          <t>Market price at this snapshot. Leave blank if not yet known.</t>
        </is>
      </c>
      <c r="F21" s="1" t="n"/>
    </row>
    <row r="22" ht="18" customHeight="1">
      <c r="A22" s="1" t="n"/>
      <c r="B22" s="9" t="inlineStr">
        <is>
          <t>Set Value (€)</t>
        </is>
      </c>
      <c r="C22" s="10" t="inlineStr">
        <is>
          <t>REQUIRED</t>
        </is>
      </c>
      <c r="D22" s="11" t="inlineStr">
        <is>
          <t>Non-neg number</t>
        </is>
      </c>
      <c r="E22" s="12" t="inlineStr">
        <is>
          <t>Total set value at this snapshot. Leave blank if not yet known.</t>
        </is>
      </c>
      <c r="F22" s="1" t="n"/>
    </row>
    <row r="23" ht="8" customHeight="1">
      <c r="A23" s="1" t="n"/>
      <c r="F23" s="1" t="n"/>
    </row>
    <row r="24" ht="22" customHeight="1">
      <c r="A24" s="4" t="inlineStr">
        <is>
          <t xml:space="preserve">  CALCULATED BY DASHBOARD — do not add these columns</t>
        </is>
      </c>
      <c r="F24" s="1" t="n"/>
    </row>
    <row r="25" ht="16" customHeight="1">
      <c r="A25" s="1" t="n"/>
      <c r="B25" s="13" t="inlineStr">
        <is>
          <t>Number of Boosters</t>
        </is>
      </c>
      <c r="C25" s="14" t="inlineStr">
        <is>
          <t>Derived from Type: BOX=36, ETB=9, BUNDLE=6</t>
        </is>
      </c>
      <c r="F25" s="1" t="n"/>
    </row>
    <row r="26" ht="16" customHeight="1">
      <c r="A26" s="1" t="n"/>
      <c r="B26" s="13" t="inlineStr">
        <is>
          <t>Age (years)</t>
        </is>
      </c>
      <c r="C26" s="14" t="inlineStr">
        <is>
          <t>Calculated from Release Date vs today</t>
        </is>
      </c>
      <c r="F26" s="1" t="n"/>
    </row>
    <row r="27" ht="16" customHeight="1">
      <c r="A27" s="1" t="n"/>
      <c r="B27" s="13" t="inlineStr">
        <is>
          <t>Current Price (€)</t>
        </is>
      </c>
      <c r="C27" s="14" t="inlineStr">
        <is>
          <t>Latest non-null Price from Historical Data</t>
        </is>
      </c>
      <c r="F27" s="1" t="n"/>
    </row>
    <row r="28" ht="16" customHeight="1">
      <c r="A28" s="1" t="n"/>
      <c r="B28" s="13" t="inlineStr">
        <is>
          <t>Set Value (€)</t>
        </is>
      </c>
      <c r="C28" s="14" t="inlineStr">
        <is>
          <t>Latest non-null Set Value from Historical Data</t>
        </is>
      </c>
      <c r="F28" s="1" t="n"/>
    </row>
    <row r="29" ht="16" customHeight="1">
      <c r="A29" s="1" t="n"/>
      <c r="B29" s="13" t="inlineStr">
        <is>
          <t>Price / Booster (€)</t>
        </is>
      </c>
      <c r="C29" s="14">
        <f> Current Price ÷ Number of Boosters</f>
        <v/>
      </c>
      <c r="F29" s="1" t="n"/>
    </row>
    <row r="30" ht="16" customHeight="1">
      <c r="A30" s="1" t="n"/>
      <c r="B30" s="13" t="inlineStr">
        <is>
          <t>SV / Booster</t>
        </is>
      </c>
      <c r="C30" s="14">
        <f> Set Value ÷ Price / Booster</f>
        <v/>
      </c>
      <c r="F30" s="1" t="n"/>
    </row>
    <row r="31" ht="16" customHeight="1">
      <c r="A31" s="1" t="n"/>
      <c r="B31" s="13" t="inlineStr">
        <is>
          <t>Age Weight</t>
        </is>
      </c>
      <c r="C31" s="14">
        <f> min(1.0, max(0.10, Age / 3))</f>
        <v/>
      </c>
      <c r="F31" s="1" t="n"/>
    </row>
    <row r="32" ht="16" customHeight="1">
      <c r="A32" s="1" t="n"/>
      <c r="B32" s="13" t="inlineStr">
        <is>
          <t>Wtd. Score</t>
        </is>
      </c>
      <c r="C32" s="14">
        <f> SV / Booster × Age Weight</f>
        <v/>
      </c>
      <c r="F32" s="1" t="n"/>
    </row>
    <row r="33">
      <c r="A33" s="1" t="n"/>
      <c r="B33" s="1" t="n"/>
      <c r="C33" s="1" t="n"/>
      <c r="D33" s="1" t="n"/>
      <c r="E33" s="1" t="n"/>
      <c r="F33" s="1" t="n"/>
    </row>
    <row r="34" ht="18" customHeight="1">
      <c r="A34" s="1" t="n"/>
      <c r="B34" s="20" t="inlineStr">
        <is>
          <t xml:space="preserve">  LINKS SHEET (optional) — Two columns: Product (must match Summary) and URL. Loaded and saved automatically by the dashboard.</t>
        </is>
      </c>
      <c r="F34" s="1" t="n"/>
    </row>
    <row r="35">
      <c r="A35" s="1" t="n"/>
      <c r="B35" s="1" t="n"/>
      <c r="C35" s="1" t="n"/>
      <c r="D35" s="1" t="n"/>
      <c r="E35" s="1" t="n"/>
      <c r="F35" s="1" t="n"/>
    </row>
    <row r="36">
      <c r="A36" s="1" t="n"/>
      <c r="B36" s="1" t="n"/>
      <c r="C36" s="1" t="n"/>
      <c r="D36" s="1" t="n"/>
      <c r="E36" s="1" t="n"/>
      <c r="F36" s="1" t="n"/>
    </row>
  </sheetData>
  <mergeCells count="24">
    <mergeCell ref="A24:E24"/>
    <mergeCell ref="C31:E31"/>
    <mergeCell ref="A11:E11"/>
    <mergeCell ref="D6:E6"/>
    <mergeCell ref="C27:E27"/>
    <mergeCell ref="A16:E16"/>
    <mergeCell ref="C32:E32"/>
    <mergeCell ref="A3:E3"/>
    <mergeCell ref="C28:E28"/>
    <mergeCell ref="D7:E7"/>
    <mergeCell ref="A23:E23"/>
    <mergeCell ref="B2:E2"/>
    <mergeCell ref="C30:E30"/>
    <mergeCell ref="D9:E9"/>
    <mergeCell ref="A17:E17"/>
    <mergeCell ref="D8:E8"/>
    <mergeCell ref="A4:E4"/>
    <mergeCell ref="B1:E1"/>
    <mergeCell ref="A10:E10"/>
    <mergeCell ref="D5:E5"/>
    <mergeCell ref="C26:E26"/>
    <mergeCell ref="C29:E29"/>
    <mergeCell ref="C25:E25"/>
    <mergeCell ref="B34:E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FC3F7"/>
    <outlinePr summaryBelow="1" summaryRight="1"/>
    <pageSetUpPr/>
  </sheetPr>
  <dimension ref="A1:C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</cols>
  <sheetData>
    <row r="1" ht="28" customHeight="1">
      <c r="A1" s="8" t="inlineStr">
        <is>
          <t>Product</t>
        </is>
      </c>
      <c r="B1" s="8" t="inlineStr">
        <is>
          <t>Type</t>
        </is>
      </c>
      <c r="C1" s="8" t="inlineStr">
        <is>
          <t>Release Date</t>
        </is>
      </c>
    </row>
    <row r="2" ht="14" customHeight="1">
      <c r="A2" s="15" t="inlineStr">
        <is>
          <t xml:space="preserve">  3 inputs per product. Type determines the booster count — everything else is calculated automatically.</t>
        </is>
      </c>
    </row>
    <row r="3" ht="16" customHeight="1">
      <c r="A3" s="16" t="inlineStr">
        <is>
          <t>Surging Sparks Booster Box</t>
        </is>
      </c>
      <c r="B3" s="16" t="inlineStr">
        <is>
          <t>BOX</t>
        </is>
      </c>
      <c r="C3" s="16" t="inlineStr">
        <is>
          <t>2024-11-08</t>
        </is>
      </c>
    </row>
    <row r="4" ht="16" customHeight="1">
      <c r="A4" s="16" t="inlineStr">
        <is>
          <t>Prismatic Evolutions ETB</t>
        </is>
      </c>
      <c r="B4" s="16" t="inlineStr">
        <is>
          <t>ETB</t>
        </is>
      </c>
      <c r="C4" s="16" t="inlineStr">
        <is>
          <t>2025-01-17</t>
        </is>
      </c>
    </row>
    <row r="5" ht="16" customHeight="1">
      <c r="A5" s="16" t="inlineStr">
        <is>
          <t>Prismatic Evolutions Booster Bundle</t>
        </is>
      </c>
      <c r="B5" s="16" t="inlineStr">
        <is>
          <t>BUNDLE</t>
        </is>
      </c>
      <c r="C5" s="16" t="inlineStr">
        <is>
          <t>2025-01-17</t>
        </is>
      </c>
    </row>
    <row r="6" ht="16" customHeight="1">
      <c r="A6" s="17" t="inlineStr"/>
      <c r="B6" s="17" t="inlineStr"/>
      <c r="C6" s="17" t="inlineStr"/>
    </row>
    <row r="7" ht="16" customHeight="1">
      <c r="A7" s="17" t="inlineStr"/>
      <c r="B7" s="17" t="inlineStr"/>
      <c r="C7" s="17" t="inlineStr"/>
    </row>
    <row r="8" ht="16" customHeight="1">
      <c r="A8" s="17" t="inlineStr"/>
      <c r="B8" s="17" t="inlineStr"/>
      <c r="C8" s="17" t="inlineStr"/>
    </row>
    <row r="9" ht="16" customHeight="1">
      <c r="A9" s="17" t="inlineStr"/>
      <c r="B9" s="17" t="inlineStr"/>
      <c r="C9" s="17" t="inlineStr"/>
    </row>
    <row r="10" ht="16" customHeight="1">
      <c r="A10" s="17" t="inlineStr"/>
      <c r="B10" s="17" t="inlineStr"/>
      <c r="C10" s="17" t="inlineStr"/>
    </row>
    <row r="11" ht="16" customHeight="1">
      <c r="A11" s="17" t="inlineStr"/>
      <c r="B11" s="17" t="inlineStr"/>
      <c r="C11" s="17" t="inlineStr"/>
    </row>
    <row r="12" ht="16" customHeight="1">
      <c r="A12" s="17" t="inlineStr"/>
      <c r="B12" s="17" t="inlineStr"/>
      <c r="C12" s="17" t="inlineStr"/>
    </row>
    <row r="13" ht="16" customHeight="1">
      <c r="A13" s="17" t="inlineStr"/>
      <c r="B13" s="17" t="inlineStr"/>
      <c r="C13" s="17" t="inlineStr"/>
    </row>
    <row r="15" ht="14" customHeight="1">
      <c r="A15" s="15" t="inlineStr">
        <is>
          <t xml:space="preserve">  Example rows are pre-filled — replace or delete them. Blue text = values you enter.</t>
        </is>
      </c>
    </row>
  </sheetData>
  <mergeCells count="2">
    <mergeCell ref="A15:C15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1C784"/>
    <outlinePr summaryBelow="1" summaryRight="1"/>
    <pageSetUpPr/>
  </sheetPr>
  <dimension ref="A1:D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6" customWidth="1" min="4" max="4"/>
  </cols>
  <sheetData>
    <row r="1" ht="28" customHeight="1">
      <c r="A1" s="8" t="inlineStr">
        <is>
          <t>Product</t>
        </is>
      </c>
      <c r="B1" s="8" t="inlineStr">
        <is>
          <t>Snapshot Date</t>
        </is>
      </c>
      <c r="C1" s="8" t="inlineStr">
        <is>
          <t>Price (€)</t>
        </is>
      </c>
      <c r="D1" s="8" t="inlineStr">
        <is>
          <t>Set Value (€)</t>
        </is>
      </c>
    </row>
    <row r="2" ht="14" customHeight="1">
      <c r="A2" s="15" t="inlineStr">
        <is>
          <t xml:space="preserve">  One row per product per monthly snapshot. Add new rows at the bottom each month — do not add new columns.</t>
        </is>
      </c>
    </row>
    <row r="3" ht="16" customHeight="1">
      <c r="A3" s="16" t="inlineStr">
        <is>
          <t>Surging Sparks Booster Box</t>
        </is>
      </c>
      <c r="B3" s="16" t="inlineStr">
        <is>
          <t>Jan 18</t>
        </is>
      </c>
      <c r="C3" s="18" t="n">
        <v>221</v>
      </c>
      <c r="D3" s="18" t="n">
        <v>953</v>
      </c>
    </row>
    <row r="4" ht="16" customHeight="1">
      <c r="A4" s="16" t="inlineStr">
        <is>
          <t>Surging Sparks Booster Box</t>
        </is>
      </c>
      <c r="B4" s="16" t="inlineStr">
        <is>
          <t>Feb 23</t>
        </is>
      </c>
      <c r="C4" s="18" t="n">
        <v>237</v>
      </c>
      <c r="D4" s="18" t="n">
        <v>1032</v>
      </c>
    </row>
    <row r="5" ht="16" customHeight="1">
      <c r="A5" s="16" t="inlineStr">
        <is>
          <t>Surging Sparks Booster Box</t>
        </is>
      </c>
      <c r="B5" s="16" t="inlineStr">
        <is>
          <t>Mar 20</t>
        </is>
      </c>
      <c r="C5" s="18" t="n">
        <v>220</v>
      </c>
      <c r="D5" s="18" t="n">
        <v>923</v>
      </c>
    </row>
    <row r="6" ht="16" customHeight="1">
      <c r="A6" s="16" t="inlineStr">
        <is>
          <t>Surging Sparks Booster Box</t>
        </is>
      </c>
      <c r="B6" s="16" t="inlineStr">
        <is>
          <t>Apr 20</t>
        </is>
      </c>
      <c r="C6" s="18" t="n">
        <v>240</v>
      </c>
      <c r="D6" s="18" t="n">
        <v>952</v>
      </c>
    </row>
    <row r="7" ht="16" customHeight="1">
      <c r="A7" s="16" t="inlineStr">
        <is>
          <t>Prismatic Evolutions ETB</t>
        </is>
      </c>
      <c r="B7" s="16" t="inlineStr">
        <is>
          <t>Jan 18</t>
        </is>
      </c>
      <c r="C7" s="18" t="n">
        <v>122</v>
      </c>
      <c r="D7" s="18" t="n">
        <v>3043</v>
      </c>
    </row>
    <row r="8" ht="16" customHeight="1">
      <c r="A8" s="16" t="inlineStr">
        <is>
          <t>Prismatic Evolutions ETB</t>
        </is>
      </c>
      <c r="B8" s="16" t="inlineStr">
        <is>
          <t>Feb 23</t>
        </is>
      </c>
      <c r="C8" s="18" t="n">
        <v>121</v>
      </c>
      <c r="D8" s="18" t="n">
        <v>3122</v>
      </c>
    </row>
    <row r="9" ht="16" customHeight="1">
      <c r="A9" s="16" t="inlineStr">
        <is>
          <t>Prismatic Evolutions ETB</t>
        </is>
      </c>
      <c r="B9" s="16" t="inlineStr">
        <is>
          <t>Mar 20</t>
        </is>
      </c>
      <c r="C9" s="18" t="n">
        <v>195</v>
      </c>
      <c r="D9" s="18" t="n">
        <v>3064</v>
      </c>
    </row>
    <row r="10" ht="16" customHeight="1">
      <c r="A10" s="16" t="inlineStr">
        <is>
          <t>Prismatic Evolutions ETB</t>
        </is>
      </c>
      <c r="B10" s="16" t="inlineStr">
        <is>
          <t>Apr 20</t>
        </is>
      </c>
      <c r="C10" s="18" t="n">
        <v>210</v>
      </c>
      <c r="D10" s="18" t="n">
        <v>3087</v>
      </c>
    </row>
    <row r="11" ht="16" customHeight="1">
      <c r="A11" s="16" t="inlineStr">
        <is>
          <t>Prismatic Evolutions Booster Bundle</t>
        </is>
      </c>
      <c r="B11" s="16" t="inlineStr">
        <is>
          <t>Jan 18</t>
        </is>
      </c>
      <c r="C11" s="18" t="n">
        <v>71</v>
      </c>
      <c r="D11" s="18" t="n">
        <v>3043</v>
      </c>
    </row>
    <row r="12" ht="16" customHeight="1">
      <c r="A12" s="16" t="inlineStr">
        <is>
          <t>Prismatic Evolutions Booster Bundle</t>
        </is>
      </c>
      <c r="B12" s="16" t="inlineStr">
        <is>
          <t>Feb 23</t>
        </is>
      </c>
      <c r="C12" s="18" t="n">
        <v>70</v>
      </c>
      <c r="D12" s="18" t="n">
        <v>3122</v>
      </c>
    </row>
    <row r="13" ht="16" customHeight="1">
      <c r="A13" s="16" t="inlineStr">
        <is>
          <t>Prismatic Evolutions Booster Bundle</t>
        </is>
      </c>
      <c r="B13" s="16" t="inlineStr">
        <is>
          <t>Mar 20</t>
        </is>
      </c>
      <c r="C13" s="18" t="n">
        <v>75</v>
      </c>
      <c r="D13" s="18" t="n">
        <v>3064</v>
      </c>
    </row>
    <row r="14" ht="16" customHeight="1">
      <c r="A14" s="16" t="inlineStr">
        <is>
          <t>Prismatic Evolutions Booster Bundle</t>
        </is>
      </c>
      <c r="B14" s="16" t="inlineStr">
        <is>
          <t>Apr 20</t>
        </is>
      </c>
      <c r="C14" s="18" t="n">
        <v>100</v>
      </c>
      <c r="D14" s="18" t="n">
        <v>3087</v>
      </c>
    </row>
    <row r="15" ht="16" customHeight="1">
      <c r="A15" s="17" t="inlineStr"/>
      <c r="B15" s="17" t="inlineStr"/>
      <c r="C15" s="19" t="inlineStr"/>
      <c r="D15" s="19" t="inlineStr"/>
    </row>
    <row r="16" ht="16" customHeight="1">
      <c r="A16" s="17" t="inlineStr"/>
      <c r="B16" s="17" t="inlineStr"/>
      <c r="C16" s="19" t="inlineStr"/>
      <c r="D16" s="19" t="inlineStr"/>
    </row>
    <row r="17" ht="16" customHeight="1">
      <c r="A17" s="17" t="inlineStr"/>
      <c r="B17" s="17" t="inlineStr"/>
      <c r="C17" s="19" t="inlineStr"/>
      <c r="D17" s="19" t="inlineStr"/>
    </row>
    <row r="18" ht="16" customHeight="1">
      <c r="A18" s="17" t="inlineStr"/>
      <c r="B18" s="17" t="inlineStr"/>
      <c r="C18" s="19" t="inlineStr"/>
      <c r="D18" s="19" t="inlineStr"/>
    </row>
    <row r="19" ht="16" customHeight="1">
      <c r="A19" s="17" t="inlineStr"/>
      <c r="B19" s="17" t="inlineStr"/>
      <c r="C19" s="19" t="inlineStr"/>
      <c r="D19" s="19" t="inlineStr"/>
    </row>
    <row r="20" ht="16" customHeight="1">
      <c r="A20" s="17" t="inlineStr"/>
      <c r="B20" s="17" t="inlineStr"/>
      <c r="C20" s="19" t="inlineStr"/>
      <c r="D20" s="19" t="inlineStr"/>
    </row>
    <row r="21" ht="16" customHeight="1">
      <c r="A21" s="17" t="inlineStr"/>
      <c r="B21" s="17" t="inlineStr"/>
      <c r="C21" s="19" t="inlineStr"/>
      <c r="D21" s="19" t="inlineStr"/>
    </row>
    <row r="22" ht="16" customHeight="1">
      <c r="A22" s="17" t="inlineStr"/>
      <c r="B22" s="17" t="inlineStr"/>
      <c r="C22" s="19" t="inlineStr"/>
      <c r="D22" s="19" t="inlineStr"/>
    </row>
    <row r="23" ht="16" customHeight="1">
      <c r="A23" s="17" t="inlineStr"/>
      <c r="B23" s="17" t="inlineStr"/>
      <c r="C23" s="19" t="inlineStr"/>
      <c r="D23" s="19" t="inlineStr"/>
    </row>
    <row r="24" ht="16" customHeight="1">
      <c r="A24" s="17" t="inlineStr"/>
      <c r="B24" s="17" t="inlineStr"/>
      <c r="C24" s="19" t="inlineStr"/>
      <c r="D24" s="19" t="inlineStr"/>
    </row>
    <row r="25" ht="16" customHeight="1">
      <c r="A25" s="17" t="inlineStr"/>
      <c r="B25" s="17" t="inlineStr"/>
      <c r="C25" s="19" t="inlineStr"/>
      <c r="D25" s="19" t="inlineStr"/>
    </row>
    <row r="26" ht="16" customHeight="1">
      <c r="A26" s="17" t="inlineStr"/>
      <c r="B26" s="17" t="inlineStr"/>
      <c r="C26" s="19" t="inlineStr"/>
      <c r="D26" s="19" t="inlineStr"/>
    </row>
    <row r="28" ht="14" customHeight="1">
      <c r="A28" s="15" t="inlineStr">
        <is>
          <t xml:space="preserve">  Monthly: add a new row per product with the Snapshot Date, Price and Set Value. Booster count is automatic.</t>
        </is>
      </c>
    </row>
  </sheetData>
  <mergeCells count="2">
    <mergeCell ref="A28:D28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8473F"/>
    <outlinePr summaryBelow="1" summaryRight="1"/>
    <pageSetUpPr/>
  </sheetPr>
  <dimension ref="A1:B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64" customWidth="1" min="2" max="2"/>
  </cols>
  <sheetData>
    <row r="1" ht="28" customHeight="1">
      <c r="A1" s="8" t="inlineStr">
        <is>
          <t>Product</t>
        </is>
      </c>
      <c r="B1" s="8" t="inlineStr">
        <is>
          <t>URL</t>
        </is>
      </c>
    </row>
    <row r="2" ht="14" customHeight="1">
      <c r="A2" s="15" t="inlineStr">
        <is>
          <t xml:space="preserve">  Optional. One row per product. Product name must exactly match the Summary sheet.</t>
        </is>
      </c>
      <c r="B2" s="1" t="n"/>
    </row>
    <row r="3" ht="16" customHeight="1">
      <c r="A3" s="16" t="inlineStr">
        <is>
          <t>Surging Sparks Booster Box</t>
        </is>
      </c>
      <c r="B3" s="21" t="inlineStr">
        <is>
          <t>https://www.cardmarket.com/en/Pokemon/Products/Booster-Boxes/Surging-Sparks-Booster-Box</t>
        </is>
      </c>
    </row>
    <row r="4" ht="16" customHeight="1">
      <c r="A4" s="16" t="inlineStr">
        <is>
          <t>Prismatic Evolutions ETB</t>
        </is>
      </c>
      <c r="B4" s="21" t="inlineStr">
        <is>
          <t>https://www.cardmarket.com/en/Pokemon/Products/Elite-Trainer-Boxes/Prismatic-Evolutions-Elite-Trainer-Box</t>
        </is>
      </c>
    </row>
    <row r="5" ht="16" customHeight="1">
      <c r="A5" s="16" t="inlineStr">
        <is>
          <t>Prismatic Evolutions Booster Bundle</t>
        </is>
      </c>
      <c r="B5" s="21" t="inlineStr">
        <is>
          <t>https://www.cardmarket.com/en/Pokemon/Products/Booster-Bundles/Prismatic-Evolutions-Booster-Bundle</t>
        </is>
      </c>
    </row>
    <row r="6" ht="16" customHeight="1">
      <c r="A6" s="17" t="inlineStr"/>
      <c r="B6" s="17" t="inlineStr"/>
    </row>
    <row r="7" ht="16" customHeight="1">
      <c r="A7" s="17" t="inlineStr"/>
      <c r="B7" s="17" t="inlineStr"/>
    </row>
    <row r="8" ht="16" customHeight="1">
      <c r="A8" s="17" t="inlineStr"/>
      <c r="B8" s="17" t="inlineStr"/>
    </row>
    <row r="9" ht="16" customHeight="1">
      <c r="A9" s="17" t="inlineStr"/>
      <c r="B9" s="17" t="inlineStr"/>
    </row>
    <row r="10" ht="16" customHeight="1">
      <c r="A10" s="17" t="inlineStr"/>
      <c r="B10" s="17" t="inlineStr"/>
    </row>
    <row r="11" ht="16" customHeight="1">
      <c r="A11" s="17" t="inlineStr"/>
      <c r="B11" s="17" t="inlineStr"/>
    </row>
    <row r="12" ht="16" customHeight="1">
      <c r="A12" s="17" t="inlineStr"/>
      <c r="B12" s="17" t="inlineStr"/>
    </row>
    <row r="13" ht="16" customHeight="1">
      <c r="A13" s="17" t="inlineStr"/>
      <c r="B13" s="17" t="inlineStr"/>
    </row>
    <row r="14">
      <c r="A14" s="1" t="n"/>
      <c r="B14" s="1" t="n"/>
    </row>
    <row r="15" ht="14" customHeight="1">
      <c r="A15" s="15" t="inlineStr">
        <is>
          <t xml:space="preserve">  Links are saved inside the exported .xlsx and reloaded automatically when you upload the file to the dashboard.</t>
        </is>
      </c>
      <c r="B15" s="1" t="n"/>
    </row>
    <row r="16">
      <c r="A16" s="1" t="n"/>
      <c r="B16" s="1" t="n"/>
    </row>
  </sheetData>
  <mergeCells count="2">
    <mergeCell ref="A2:B2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2026-04-29T18:54:43Z</dcterms:created>
  <dcterms:modified xmlns:dcterms="http://purl.org/dc/terms/" xmlns:xsi="http://www.w3.org/2001/XMLSchema-instance" xsi:type="dcterms:W3CDTF">2026-05-04T18:46:57Z</dcterms:modified>
</cp:coreProperties>
</file>